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xr:revisionPtr revIDLastSave="0" documentId="8_{1EBF654F-55FC-9F4C-BB77-82340A0107B4}" xr6:coauthVersionLast="47" xr6:coauthVersionMax="47" xr10:uidLastSave="{00000000-0000-0000-0000-000000000000}"/>
  <bookViews>
    <workbookView xWindow="0" yWindow="0" windowWidth="20490" windowHeight="750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1" l="1"/>
  <c r="C86" i="1"/>
  <c r="D85" i="1"/>
  <c r="C85" i="1"/>
  <c r="D80" i="1"/>
  <c r="C80" i="1"/>
  <c r="D75" i="1"/>
  <c r="C75" i="1"/>
  <c r="D73" i="1"/>
  <c r="C73" i="1"/>
  <c r="D72" i="1"/>
  <c r="C72" i="1"/>
  <c r="D71" i="1"/>
  <c r="C71" i="1"/>
  <c r="D68" i="1"/>
  <c r="C68" i="1"/>
  <c r="D66" i="1"/>
  <c r="D63" i="1"/>
  <c r="D57" i="1"/>
  <c r="C57" i="1"/>
  <c r="D54" i="1"/>
  <c r="D51" i="1"/>
  <c r="C51" i="1"/>
  <c r="D45" i="1"/>
  <c r="D36" i="1"/>
  <c r="C36" i="1"/>
  <c r="D35" i="1"/>
  <c r="C35" i="1"/>
  <c r="D31" i="1"/>
  <c r="C31" i="1"/>
  <c r="D26" i="1"/>
  <c r="C26" i="1"/>
  <c r="D25" i="1"/>
  <c r="C25" i="1"/>
  <c r="D18" i="1"/>
  <c r="C18" i="1"/>
  <c r="D14" i="1"/>
  <c r="C14" i="1"/>
  <c r="D11" i="1"/>
  <c r="D7" i="1"/>
  <c r="C7" i="1"/>
</calcChain>
</file>

<file path=xl/sharedStrings.xml><?xml version="1.0" encoding="utf-8"?>
<sst xmlns="http://schemas.openxmlformats.org/spreadsheetml/2006/main" count="147" uniqueCount="90">
  <si>
    <t>ITEM</t>
  </si>
  <si>
    <t>SEGMENTO</t>
  </si>
  <si>
    <t>VOLUME</t>
  </si>
  <si>
    <t>VALOR</t>
  </si>
  <si>
    <t>açaí</t>
  </si>
  <si>
    <t>açaí/sorvete</t>
  </si>
  <si>
    <t>40L</t>
  </si>
  <si>
    <t>água mineral</t>
  </si>
  <si>
    <t>água</t>
  </si>
  <si>
    <t>guardanapo</t>
  </si>
  <si>
    <t>descartável</t>
  </si>
  <si>
    <t>luva látex</t>
  </si>
  <si>
    <t>filme PVC</t>
  </si>
  <si>
    <t>mexedor de café</t>
  </si>
  <si>
    <t>bobina plástica</t>
  </si>
  <si>
    <t>creme de leite</t>
  </si>
  <si>
    <t>estocáveis</t>
  </si>
  <si>
    <t>grão de bico</t>
  </si>
  <si>
    <t>leite integral</t>
  </si>
  <si>
    <t>leite zero lactose</t>
  </si>
  <si>
    <t>macarrão</t>
  </si>
  <si>
    <t>macarrão sem glúten</t>
  </si>
  <si>
    <t>molho tomate</t>
  </si>
  <si>
    <t>óleo de canola</t>
  </si>
  <si>
    <t>peta</t>
  </si>
  <si>
    <t>mel</t>
  </si>
  <si>
    <t>milho verde</t>
  </si>
  <si>
    <t>tomate seco</t>
  </si>
  <si>
    <t>cacau 100%</t>
  </si>
  <si>
    <t>arroz</t>
  </si>
  <si>
    <t>flocão</t>
  </si>
  <si>
    <t>páprica</t>
  </si>
  <si>
    <t>lentilha</t>
  </si>
  <si>
    <t>pimenta do reino</t>
  </si>
  <si>
    <t>cacau 50%</t>
  </si>
  <si>
    <t>feijão preto</t>
  </si>
  <si>
    <t>geleia</t>
  </si>
  <si>
    <t>leite de coco</t>
  </si>
  <si>
    <t>maionese</t>
  </si>
  <si>
    <t>farinha de trigo</t>
  </si>
  <si>
    <t>feifão carioca</t>
  </si>
  <si>
    <t>café</t>
  </si>
  <si>
    <t>açúcar sachê</t>
  </si>
  <si>
    <t>azeite extra virgem</t>
  </si>
  <si>
    <t>lemon pepper</t>
  </si>
  <si>
    <t>massa para lasanha</t>
  </si>
  <si>
    <t>mostarda</t>
  </si>
  <si>
    <t>palmito</t>
  </si>
  <si>
    <t>amido de milho</t>
  </si>
  <si>
    <t>gás</t>
  </si>
  <si>
    <t>queijo minas</t>
  </si>
  <si>
    <t>laticínio</t>
  </si>
  <si>
    <t>margarina</t>
  </si>
  <si>
    <t>queijo muçarela</t>
  </si>
  <si>
    <t>requeijão</t>
  </si>
  <si>
    <t>queijo gorgonzola</t>
  </si>
  <si>
    <t>AFVT</t>
  </si>
  <si>
    <t>higienização horti</t>
  </si>
  <si>
    <t>água sanitária</t>
  </si>
  <si>
    <t>limpeza</t>
  </si>
  <si>
    <t>perfex</t>
  </si>
  <si>
    <t>álcool</t>
  </si>
  <si>
    <t xml:space="preserve">detergente </t>
  </si>
  <si>
    <t>papel toalha rolo</t>
  </si>
  <si>
    <t>cloro</t>
  </si>
  <si>
    <t>saco de lixo</t>
  </si>
  <si>
    <t>pão de queijo</t>
  </si>
  <si>
    <t>pães</t>
  </si>
  <si>
    <t>waffles</t>
  </si>
  <si>
    <t>lagarto</t>
  </si>
  <si>
    <t>proteína bovina</t>
  </si>
  <si>
    <t>coxão mole</t>
  </si>
  <si>
    <t>carne moída</t>
  </si>
  <si>
    <t>paleta</t>
  </si>
  <si>
    <t>filé de frango</t>
  </si>
  <si>
    <t>proteína frango</t>
  </si>
  <si>
    <t>filé de coxa</t>
  </si>
  <si>
    <t>coxinha da asa</t>
  </si>
  <si>
    <t>ovo</t>
  </si>
  <si>
    <t>proteína ovo</t>
  </si>
  <si>
    <t>filé de tilápia</t>
  </si>
  <si>
    <t>proteína pescado</t>
  </si>
  <si>
    <t>filé de salmão</t>
  </si>
  <si>
    <t>filé suíno</t>
  </si>
  <si>
    <t>proteína suína</t>
  </si>
  <si>
    <t>bacon</t>
  </si>
  <si>
    <t>linguiça calabresa</t>
  </si>
  <si>
    <t>costela suína</t>
  </si>
  <si>
    <t>polpas diversas</t>
  </si>
  <si>
    <t>suco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</si>
</sst>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6" xfId="0" applyFont="1" applyBorder="1">
      <alignment vertical="center"/>
    </xf>
    <xf numFmtId="0" fontId="3" fillId="0" borderId="5" xfId="0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F82" sqref="F82"/>
    </sheetView>
  </sheetViews>
  <sheetFormatPr defaultColWidth="9.171875" defaultRowHeight="14.25" x14ac:dyDescent="0.2"/>
  <cols>
    <col min="1" max="1" width="19.53125" customWidth="1"/>
    <col min="2" max="2" width="17.60546875" customWidth="1"/>
    <col min="3" max="3" width="13.16796875" customWidth="1"/>
    <col min="4" max="4" width="13.76171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4" t="s">
        <v>6</v>
      </c>
      <c r="D2" s="5">
        <v>1006.7</v>
      </c>
    </row>
    <row r="3" spans="1:4" x14ac:dyDescent="0.2">
      <c r="A3" s="6"/>
      <c r="B3" s="7"/>
      <c r="C3" s="7"/>
      <c r="D3" s="8"/>
    </row>
    <row r="4" spans="1:4" x14ac:dyDescent="0.2">
      <c r="A4" s="2" t="s">
        <v>7</v>
      </c>
      <c r="B4" s="3" t="s">
        <v>8</v>
      </c>
      <c r="C4" s="3">
        <v>200</v>
      </c>
      <c r="D4" s="5">
        <v>350</v>
      </c>
    </row>
    <row r="5" spans="1:4" x14ac:dyDescent="0.2">
      <c r="A5" s="6"/>
      <c r="B5" s="7"/>
      <c r="C5" s="7"/>
      <c r="D5" s="8"/>
    </row>
    <row r="6" spans="1:4" x14ac:dyDescent="0.2">
      <c r="A6" s="2" t="s">
        <v>9</v>
      </c>
      <c r="B6" s="3" t="s">
        <v>10</v>
      </c>
      <c r="C6" s="3">
        <v>2</v>
      </c>
      <c r="D6" s="5">
        <v>75.16</v>
      </c>
    </row>
    <row r="7" spans="1:4" x14ac:dyDescent="0.2">
      <c r="A7" s="9" t="s">
        <v>11</v>
      </c>
      <c r="B7" t="s">
        <v>10</v>
      </c>
      <c r="C7">
        <f>4+2</f>
        <v>6</v>
      </c>
      <c r="D7" s="10">
        <f>92.48+65.98</f>
        <v>158.46</v>
      </c>
    </row>
    <row r="8" spans="1:4" x14ac:dyDescent="0.2">
      <c r="A8" s="9" t="s">
        <v>12</v>
      </c>
      <c r="B8" t="s">
        <v>10</v>
      </c>
      <c r="C8">
        <v>1</v>
      </c>
      <c r="D8" s="10">
        <v>77.59</v>
      </c>
    </row>
    <row r="9" spans="1:4" x14ac:dyDescent="0.2">
      <c r="A9" s="9" t="s">
        <v>13</v>
      </c>
      <c r="B9" t="s">
        <v>10</v>
      </c>
      <c r="C9">
        <v>2</v>
      </c>
      <c r="D9" s="10">
        <v>22.74</v>
      </c>
    </row>
    <row r="10" spans="1:4" x14ac:dyDescent="0.2">
      <c r="A10" s="9" t="s">
        <v>14</v>
      </c>
      <c r="B10" t="s">
        <v>10</v>
      </c>
      <c r="C10">
        <v>2</v>
      </c>
      <c r="D10" s="10">
        <v>84.14</v>
      </c>
    </row>
    <row r="11" spans="1:4" x14ac:dyDescent="0.2">
      <c r="A11" s="6"/>
      <c r="B11" s="7"/>
      <c r="C11" s="7"/>
      <c r="D11" s="11">
        <f>SUM(D6:D10)</f>
        <v>418.09</v>
      </c>
    </row>
    <row r="12" spans="1:4" x14ac:dyDescent="0.2">
      <c r="A12" s="2" t="s">
        <v>15</v>
      </c>
      <c r="B12" s="3" t="s">
        <v>16</v>
      </c>
      <c r="C12" s="3">
        <v>24</v>
      </c>
      <c r="D12" s="5">
        <v>299.98</v>
      </c>
    </row>
    <row r="13" spans="1:4" x14ac:dyDescent="0.2">
      <c r="A13" s="9" t="s">
        <v>17</v>
      </c>
      <c r="B13" t="s">
        <v>16</v>
      </c>
      <c r="C13">
        <v>20</v>
      </c>
      <c r="D13" s="10">
        <v>115</v>
      </c>
    </row>
    <row r="14" spans="1:4" x14ac:dyDescent="0.2">
      <c r="A14" s="9" t="s">
        <v>18</v>
      </c>
      <c r="B14" t="s">
        <v>16</v>
      </c>
      <c r="C14">
        <f>60+48</f>
        <v>108</v>
      </c>
      <c r="D14" s="10">
        <f>329.5+247.6</f>
        <v>577.1</v>
      </c>
    </row>
    <row r="15" spans="1:4" x14ac:dyDescent="0.2">
      <c r="A15" s="9" t="s">
        <v>19</v>
      </c>
      <c r="B15" t="s">
        <v>16</v>
      </c>
      <c r="C15">
        <v>24</v>
      </c>
      <c r="D15" s="10">
        <v>145.46</v>
      </c>
    </row>
    <row r="16" spans="1:4" x14ac:dyDescent="0.2">
      <c r="A16" s="9" t="s">
        <v>20</v>
      </c>
      <c r="B16" t="s">
        <v>16</v>
      </c>
      <c r="C16">
        <v>20</v>
      </c>
      <c r="D16" s="10">
        <v>125</v>
      </c>
    </row>
    <row r="17" spans="1:4" x14ac:dyDescent="0.2">
      <c r="A17" s="9" t="s">
        <v>21</v>
      </c>
      <c r="B17" t="s">
        <v>16</v>
      </c>
      <c r="C17">
        <v>4</v>
      </c>
      <c r="D17" s="10">
        <v>79.959999999999994</v>
      </c>
    </row>
    <row r="18" spans="1:4" x14ac:dyDescent="0.2">
      <c r="A18" s="9" t="s">
        <v>22</v>
      </c>
      <c r="B18" t="s">
        <v>16</v>
      </c>
      <c r="C18">
        <f>6+8+1</f>
        <v>15</v>
      </c>
      <c r="D18" s="10">
        <f>155.94+149.4+32.9</f>
        <v>338.24</v>
      </c>
    </row>
    <row r="19" spans="1:4" x14ac:dyDescent="0.2">
      <c r="A19" s="9" t="s">
        <v>23</v>
      </c>
      <c r="B19" t="s">
        <v>16</v>
      </c>
      <c r="C19">
        <v>80</v>
      </c>
      <c r="D19" s="10">
        <v>1178</v>
      </c>
    </row>
    <row r="20" spans="1:4" x14ac:dyDescent="0.2">
      <c r="A20" s="9" t="s">
        <v>24</v>
      </c>
      <c r="B20" t="s">
        <v>16</v>
      </c>
      <c r="C20">
        <v>20</v>
      </c>
      <c r="D20" s="10">
        <v>204.2</v>
      </c>
    </row>
    <row r="21" spans="1:4" x14ac:dyDescent="0.2">
      <c r="A21" s="9" t="s">
        <v>25</v>
      </c>
      <c r="B21" t="s">
        <v>16</v>
      </c>
      <c r="C21">
        <v>6</v>
      </c>
      <c r="D21" s="10">
        <v>192.5</v>
      </c>
    </row>
    <row r="22" spans="1:4" x14ac:dyDescent="0.2">
      <c r="A22" s="9" t="s">
        <v>26</v>
      </c>
      <c r="B22" t="s">
        <v>16</v>
      </c>
      <c r="C22">
        <v>4</v>
      </c>
      <c r="D22" s="10">
        <v>95.04</v>
      </c>
    </row>
    <row r="23" spans="1:4" x14ac:dyDescent="0.2">
      <c r="A23" s="9" t="s">
        <v>27</v>
      </c>
      <c r="B23" t="s">
        <v>16</v>
      </c>
      <c r="C23">
        <v>1</v>
      </c>
      <c r="D23" s="10">
        <v>31.5</v>
      </c>
    </row>
    <row r="24" spans="1:4" x14ac:dyDescent="0.2">
      <c r="A24" s="9" t="s">
        <v>28</v>
      </c>
      <c r="B24" t="s">
        <v>16</v>
      </c>
      <c r="C24">
        <v>4</v>
      </c>
      <c r="D24" s="10">
        <v>255.24</v>
      </c>
    </row>
    <row r="25" spans="1:4" x14ac:dyDescent="0.2">
      <c r="A25" s="9" t="s">
        <v>29</v>
      </c>
      <c r="B25" t="s">
        <v>16</v>
      </c>
      <c r="C25">
        <f>18+12</f>
        <v>30</v>
      </c>
      <c r="D25" s="10">
        <f>399.96+238.8</f>
        <v>638.76</v>
      </c>
    </row>
    <row r="26" spans="1:4" x14ac:dyDescent="0.2">
      <c r="A26" s="9" t="s">
        <v>30</v>
      </c>
      <c r="B26" t="s">
        <v>16</v>
      </c>
      <c r="C26">
        <f>20+20</f>
        <v>40</v>
      </c>
      <c r="D26" s="10">
        <f>36.14+37.23</f>
        <v>73.37</v>
      </c>
    </row>
    <row r="27" spans="1:4" x14ac:dyDescent="0.2">
      <c r="A27" s="9" t="s">
        <v>31</v>
      </c>
      <c r="B27" t="s">
        <v>16</v>
      </c>
      <c r="C27">
        <v>3</v>
      </c>
      <c r="D27" s="10">
        <v>17.21</v>
      </c>
    </row>
    <row r="28" spans="1:4" x14ac:dyDescent="0.2">
      <c r="A28" s="9" t="s">
        <v>32</v>
      </c>
      <c r="B28" t="s">
        <v>16</v>
      </c>
      <c r="C28">
        <v>8</v>
      </c>
      <c r="D28" s="10">
        <v>52.16</v>
      </c>
    </row>
    <row r="29" spans="1:4" x14ac:dyDescent="0.2">
      <c r="A29" s="9" t="s">
        <v>33</v>
      </c>
      <c r="B29" t="s">
        <v>16</v>
      </c>
      <c r="C29">
        <v>3</v>
      </c>
      <c r="D29" s="10">
        <v>100.8</v>
      </c>
    </row>
    <row r="30" spans="1:4" x14ac:dyDescent="0.2">
      <c r="A30" s="9" t="s">
        <v>34</v>
      </c>
      <c r="B30" t="s">
        <v>16</v>
      </c>
      <c r="C30">
        <v>3</v>
      </c>
      <c r="D30" s="10">
        <v>183.97</v>
      </c>
    </row>
    <row r="31" spans="1:4" x14ac:dyDescent="0.2">
      <c r="A31" s="9" t="s">
        <v>35</v>
      </c>
      <c r="B31" t="s">
        <v>16</v>
      </c>
      <c r="C31">
        <f>20+20</f>
        <v>40</v>
      </c>
      <c r="D31" s="10">
        <f>147.96+135.8</f>
        <v>283.76</v>
      </c>
    </row>
    <row r="32" spans="1:4" x14ac:dyDescent="0.2">
      <c r="A32" s="9" t="s">
        <v>36</v>
      </c>
      <c r="B32" t="s">
        <v>16</v>
      </c>
      <c r="C32">
        <v>4</v>
      </c>
      <c r="D32" s="10">
        <v>187.08</v>
      </c>
    </row>
    <row r="33" spans="1:4" x14ac:dyDescent="0.2">
      <c r="A33" s="9" t="s">
        <v>37</v>
      </c>
      <c r="B33" t="s">
        <v>16</v>
      </c>
      <c r="C33">
        <v>10</v>
      </c>
      <c r="D33" s="10">
        <v>289.5</v>
      </c>
    </row>
    <row r="34" spans="1:4" x14ac:dyDescent="0.2">
      <c r="A34" s="9" t="s">
        <v>38</v>
      </c>
      <c r="B34" t="s">
        <v>16</v>
      </c>
      <c r="C34">
        <v>3</v>
      </c>
      <c r="D34" s="10">
        <v>163.62</v>
      </c>
    </row>
    <row r="35" spans="1:4" x14ac:dyDescent="0.2">
      <c r="A35" s="9" t="s">
        <v>39</v>
      </c>
      <c r="B35" t="s">
        <v>16</v>
      </c>
      <c r="C35">
        <f>30+20</f>
        <v>50</v>
      </c>
      <c r="D35" s="10">
        <f>113.7+63.98</f>
        <v>177.68</v>
      </c>
    </row>
    <row r="36" spans="1:4" x14ac:dyDescent="0.2">
      <c r="A36" s="9" t="s">
        <v>40</v>
      </c>
      <c r="B36" t="s">
        <v>16</v>
      </c>
      <c r="C36">
        <f>20+20</f>
        <v>40</v>
      </c>
      <c r="D36" s="10">
        <f>194.2+109.98</f>
        <v>304.18</v>
      </c>
    </row>
    <row r="37" spans="1:4" x14ac:dyDescent="0.2">
      <c r="A37" s="9" t="s">
        <v>41</v>
      </c>
      <c r="B37" t="s">
        <v>16</v>
      </c>
      <c r="C37">
        <v>20</v>
      </c>
      <c r="D37" s="10">
        <v>537.79999999999995</v>
      </c>
    </row>
    <row r="38" spans="1:4" x14ac:dyDescent="0.2">
      <c r="A38" s="9" t="s">
        <v>42</v>
      </c>
      <c r="B38" t="s">
        <v>16</v>
      </c>
      <c r="C38">
        <v>3</v>
      </c>
      <c r="D38" s="10">
        <v>59.97</v>
      </c>
    </row>
    <row r="39" spans="1:4" x14ac:dyDescent="0.2">
      <c r="A39" s="9" t="s">
        <v>43</v>
      </c>
      <c r="B39" t="s">
        <v>16</v>
      </c>
      <c r="C39">
        <v>10</v>
      </c>
      <c r="D39" s="10">
        <v>289</v>
      </c>
    </row>
    <row r="40" spans="1:4" x14ac:dyDescent="0.2">
      <c r="A40" s="9" t="s">
        <v>44</v>
      </c>
      <c r="B40" t="s">
        <v>16</v>
      </c>
      <c r="C40">
        <v>3</v>
      </c>
      <c r="D40" s="10">
        <v>47.97</v>
      </c>
    </row>
    <row r="41" spans="1:4" x14ac:dyDescent="0.2">
      <c r="A41" s="9" t="s">
        <v>45</v>
      </c>
      <c r="B41" t="s">
        <v>16</v>
      </c>
      <c r="C41">
        <v>20</v>
      </c>
      <c r="D41" s="10">
        <v>217</v>
      </c>
    </row>
    <row r="42" spans="1:4" x14ac:dyDescent="0.2">
      <c r="A42" s="9" t="s">
        <v>46</v>
      </c>
      <c r="B42" t="s">
        <v>16</v>
      </c>
      <c r="C42">
        <v>1</v>
      </c>
      <c r="D42" s="10">
        <v>23.99</v>
      </c>
    </row>
    <row r="43" spans="1:4" x14ac:dyDescent="0.2">
      <c r="A43" s="9" t="s">
        <v>47</v>
      </c>
      <c r="B43" t="s">
        <v>16</v>
      </c>
      <c r="C43">
        <v>2</v>
      </c>
      <c r="D43" s="10">
        <v>107.98</v>
      </c>
    </row>
    <row r="44" spans="1:4" x14ac:dyDescent="0.2">
      <c r="A44" s="9" t="s">
        <v>48</v>
      </c>
      <c r="B44" t="s">
        <v>16</v>
      </c>
      <c r="C44">
        <v>10</v>
      </c>
      <c r="D44" s="10">
        <v>89.9</v>
      </c>
    </row>
    <row r="45" spans="1:4" x14ac:dyDescent="0.2">
      <c r="A45" s="6"/>
      <c r="B45" s="7"/>
      <c r="C45" s="7"/>
      <c r="D45" s="11">
        <f>SUM(D12:D44)</f>
        <v>7482.92</v>
      </c>
    </row>
    <row r="46" spans="1:4" x14ac:dyDescent="0.2">
      <c r="A46" s="2" t="s">
        <v>49</v>
      </c>
      <c r="B46" s="3" t="s">
        <v>49</v>
      </c>
      <c r="C46" s="3">
        <v>2</v>
      </c>
      <c r="D46" s="5">
        <v>683.4</v>
      </c>
    </row>
    <row r="47" spans="1:4" x14ac:dyDescent="0.2">
      <c r="A47" s="6"/>
      <c r="B47" s="7"/>
      <c r="C47" s="7"/>
      <c r="D47" s="8"/>
    </row>
    <row r="49" spans="1:4" x14ac:dyDescent="0.2">
      <c r="A49" s="2" t="s">
        <v>50</v>
      </c>
      <c r="B49" s="3" t="s">
        <v>51</v>
      </c>
      <c r="C49" s="3">
        <v>12</v>
      </c>
      <c r="D49" s="5">
        <v>450.67</v>
      </c>
    </row>
    <row r="50" spans="1:4" x14ac:dyDescent="0.2">
      <c r="A50" s="9" t="s">
        <v>52</v>
      </c>
      <c r="B50" t="s">
        <v>51</v>
      </c>
      <c r="C50">
        <v>10</v>
      </c>
      <c r="D50" s="10">
        <v>180.79</v>
      </c>
    </row>
    <row r="51" spans="1:4" x14ac:dyDescent="0.2">
      <c r="A51" s="9" t="s">
        <v>53</v>
      </c>
      <c r="B51" t="s">
        <v>51</v>
      </c>
      <c r="C51">
        <f>24+16</f>
        <v>40</v>
      </c>
      <c r="D51" s="10">
        <f>933.6+611.52</f>
        <v>1545.12</v>
      </c>
    </row>
    <row r="52" spans="1:4" x14ac:dyDescent="0.2">
      <c r="A52" s="9" t="s">
        <v>54</v>
      </c>
      <c r="B52" t="s">
        <v>51</v>
      </c>
      <c r="C52">
        <v>5</v>
      </c>
      <c r="D52" s="10">
        <v>234</v>
      </c>
    </row>
    <row r="53" spans="1:4" x14ac:dyDescent="0.2">
      <c r="A53" s="9" t="s">
        <v>55</v>
      </c>
      <c r="B53" t="s">
        <v>51</v>
      </c>
      <c r="C53">
        <v>2.8</v>
      </c>
      <c r="D53" s="10">
        <v>141.88</v>
      </c>
    </row>
    <row r="54" spans="1:4" x14ac:dyDescent="0.2">
      <c r="A54" s="6"/>
      <c r="B54" s="7"/>
      <c r="C54" s="7"/>
      <c r="D54" s="11">
        <f>SUM(D49:D53)</f>
        <v>2552.46</v>
      </c>
    </row>
    <row r="55" spans="1:4" x14ac:dyDescent="0.2">
      <c r="A55" s="2" t="s">
        <v>56</v>
      </c>
      <c r="B55" s="3" t="s">
        <v>57</v>
      </c>
      <c r="C55" s="3">
        <v>1</v>
      </c>
      <c r="D55" s="5">
        <v>2102.7199999999998</v>
      </c>
    </row>
    <row r="56" spans="1:4" x14ac:dyDescent="0.2">
      <c r="A56" s="9" t="s">
        <v>58</v>
      </c>
      <c r="B56" t="s">
        <v>59</v>
      </c>
      <c r="C56">
        <v>12</v>
      </c>
      <c r="D56" s="10">
        <v>53.75</v>
      </c>
    </row>
    <row r="57" spans="1:4" x14ac:dyDescent="0.2">
      <c r="A57" s="9" t="s">
        <v>60</v>
      </c>
      <c r="B57" t="s">
        <v>59</v>
      </c>
      <c r="C57">
        <f>1+1+1</f>
        <v>3</v>
      </c>
      <c r="D57" s="10">
        <f>68.4+68.59+73.96</f>
        <v>210.95</v>
      </c>
    </row>
    <row r="58" spans="1:4" x14ac:dyDescent="0.2">
      <c r="A58" s="9" t="s">
        <v>61</v>
      </c>
      <c r="B58" t="s">
        <v>59</v>
      </c>
      <c r="C58">
        <v>12</v>
      </c>
      <c r="D58" s="10">
        <v>72</v>
      </c>
    </row>
    <row r="59" spans="1:4" x14ac:dyDescent="0.2">
      <c r="A59" s="9" t="s">
        <v>62</v>
      </c>
      <c r="B59" t="s">
        <v>59</v>
      </c>
      <c r="C59">
        <v>3</v>
      </c>
      <c r="D59" s="10">
        <v>1872</v>
      </c>
    </row>
    <row r="60" spans="1:4" x14ac:dyDescent="0.2">
      <c r="A60" s="9" t="s">
        <v>63</v>
      </c>
      <c r="B60" t="s">
        <v>59</v>
      </c>
      <c r="C60">
        <v>6</v>
      </c>
      <c r="D60" s="10">
        <v>224.94</v>
      </c>
    </row>
    <row r="61" spans="1:4" x14ac:dyDescent="0.2">
      <c r="A61" s="9" t="s">
        <v>64</v>
      </c>
      <c r="B61" t="s">
        <v>59</v>
      </c>
      <c r="C61">
        <v>1</v>
      </c>
      <c r="D61" s="10">
        <v>221.76</v>
      </c>
    </row>
    <row r="62" spans="1:4" x14ac:dyDescent="0.2">
      <c r="A62" s="9" t="s">
        <v>65</v>
      </c>
      <c r="B62" t="s">
        <v>59</v>
      </c>
      <c r="C62">
        <v>5</v>
      </c>
      <c r="D62" s="10">
        <v>360.05</v>
      </c>
    </row>
    <row r="63" spans="1:4" x14ac:dyDescent="0.2">
      <c r="A63" s="6"/>
      <c r="B63" s="7"/>
      <c r="C63" s="7"/>
      <c r="D63" s="11">
        <f>SUM(D55:D62)</f>
        <v>5118.17</v>
      </c>
    </row>
    <row r="64" spans="1:4" x14ac:dyDescent="0.2">
      <c r="A64" s="2" t="s">
        <v>66</v>
      </c>
      <c r="B64" s="3" t="s">
        <v>67</v>
      </c>
      <c r="C64" s="3">
        <v>35</v>
      </c>
      <c r="D64" s="5">
        <v>519.75</v>
      </c>
    </row>
    <row r="65" spans="1:4" x14ac:dyDescent="0.2">
      <c r="A65" s="9" t="s">
        <v>68</v>
      </c>
      <c r="B65" t="s">
        <v>67</v>
      </c>
      <c r="C65">
        <v>147</v>
      </c>
      <c r="D65" s="10">
        <v>1321.53</v>
      </c>
    </row>
    <row r="66" spans="1:4" x14ac:dyDescent="0.2">
      <c r="A66" s="6"/>
      <c r="B66" s="7"/>
      <c r="C66" s="7"/>
      <c r="D66" s="11">
        <f>SUM(D64:D65)</f>
        <v>1841.28</v>
      </c>
    </row>
    <row r="67" spans="1:4" x14ac:dyDescent="0.2">
      <c r="A67" s="2" t="s">
        <v>69</v>
      </c>
      <c r="B67" s="3" t="s">
        <v>70</v>
      </c>
      <c r="C67" s="3">
        <v>50.5</v>
      </c>
      <c r="D67" s="5">
        <v>1914.33</v>
      </c>
    </row>
    <row r="68" spans="1:4" x14ac:dyDescent="0.2">
      <c r="A68" s="9" t="s">
        <v>71</v>
      </c>
      <c r="B68" t="s">
        <v>70</v>
      </c>
      <c r="C68">
        <f>46+26.5+68.9</f>
        <v>141.4</v>
      </c>
      <c r="D68" s="10">
        <f>1746+1061.26+2645.34</f>
        <v>5452.6</v>
      </c>
    </row>
    <row r="69" spans="1:4" x14ac:dyDescent="0.2">
      <c r="A69" s="9" t="s">
        <v>72</v>
      </c>
      <c r="B69" t="s">
        <v>70</v>
      </c>
      <c r="C69">
        <v>40</v>
      </c>
      <c r="D69" s="10">
        <v>1156</v>
      </c>
    </row>
    <row r="70" spans="1:4" x14ac:dyDescent="0.2">
      <c r="A70" s="9" t="s">
        <v>73</v>
      </c>
      <c r="B70" t="s">
        <v>70</v>
      </c>
      <c r="C70">
        <v>43.9</v>
      </c>
      <c r="D70" s="10">
        <v>1448.95</v>
      </c>
    </row>
    <row r="71" spans="1:4" x14ac:dyDescent="0.2">
      <c r="A71" s="6"/>
      <c r="B71" s="7"/>
      <c r="C71" s="12">
        <f>SUM(C67:C70)</f>
        <v>275.8</v>
      </c>
      <c r="D71" s="11">
        <f>SUM(D67:D70)</f>
        <v>9971.8799999999992</v>
      </c>
    </row>
    <row r="72" spans="1:4" x14ac:dyDescent="0.2">
      <c r="A72" s="2" t="s">
        <v>74</v>
      </c>
      <c r="B72" s="3" t="s">
        <v>75</v>
      </c>
      <c r="C72" s="3">
        <f>180+102</f>
        <v>282</v>
      </c>
      <c r="D72" s="5">
        <f>2698.2+1639.14</f>
        <v>4337.34</v>
      </c>
    </row>
    <row r="73" spans="1:4" x14ac:dyDescent="0.2">
      <c r="A73" s="9" t="s">
        <v>76</v>
      </c>
      <c r="B73" t="s">
        <v>75</v>
      </c>
      <c r="C73">
        <f>48+54</f>
        <v>102</v>
      </c>
      <c r="D73" s="10">
        <f>715.2+755.46</f>
        <v>1470.66</v>
      </c>
    </row>
    <row r="74" spans="1:4" x14ac:dyDescent="0.2">
      <c r="A74" s="9" t="s">
        <v>77</v>
      </c>
      <c r="B74" t="s">
        <v>75</v>
      </c>
      <c r="C74">
        <v>80</v>
      </c>
      <c r="D74" s="10">
        <v>952</v>
      </c>
    </row>
    <row r="75" spans="1:4" x14ac:dyDescent="0.2">
      <c r="A75" s="6"/>
      <c r="B75" s="7"/>
      <c r="C75" s="12">
        <f>SUM(C72:C74)</f>
        <v>464</v>
      </c>
      <c r="D75" s="11">
        <f>SUM(D72:D74)</f>
        <v>6760</v>
      </c>
    </row>
    <row r="76" spans="1:4" x14ac:dyDescent="0.2">
      <c r="A76" s="2" t="s">
        <v>78</v>
      </c>
      <c r="B76" s="3" t="s">
        <v>79</v>
      </c>
      <c r="C76" s="3">
        <v>720</v>
      </c>
      <c r="D76" s="5">
        <v>430</v>
      </c>
    </row>
    <row r="77" spans="1:4" x14ac:dyDescent="0.2">
      <c r="A77" s="6"/>
      <c r="B77" s="7"/>
      <c r="C77" s="7"/>
      <c r="D77" s="8"/>
    </row>
    <row r="78" spans="1:4" x14ac:dyDescent="0.2">
      <c r="A78" s="2" t="s">
        <v>80</v>
      </c>
      <c r="B78" s="3" t="s">
        <v>81</v>
      </c>
      <c r="C78" s="3">
        <v>40</v>
      </c>
      <c r="D78" s="5">
        <v>1596</v>
      </c>
    </row>
    <row r="79" spans="1:4" x14ac:dyDescent="0.2">
      <c r="A79" s="9" t="s">
        <v>82</v>
      </c>
      <c r="B79" t="s">
        <v>81</v>
      </c>
      <c r="C79">
        <v>40.9</v>
      </c>
      <c r="D79" s="10">
        <v>2780.24</v>
      </c>
    </row>
    <row r="80" spans="1:4" x14ac:dyDescent="0.2">
      <c r="A80" s="6"/>
      <c r="B80" s="7"/>
      <c r="C80" s="12">
        <f>SUM(C78:C79)</f>
        <v>80.900000000000006</v>
      </c>
      <c r="D80" s="11">
        <f>SUM(D78:D79)</f>
        <v>4376.24</v>
      </c>
    </row>
    <row r="81" spans="1:4" x14ac:dyDescent="0.2">
      <c r="A81" s="2" t="s">
        <v>83</v>
      </c>
      <c r="B81" s="3" t="s">
        <v>84</v>
      </c>
      <c r="C81" s="3">
        <v>44</v>
      </c>
      <c r="D81" s="5">
        <v>1013.32</v>
      </c>
    </row>
    <row r="82" spans="1:4" x14ac:dyDescent="0.2">
      <c r="A82" s="9" t="s">
        <v>85</v>
      </c>
      <c r="B82" t="s">
        <v>84</v>
      </c>
      <c r="C82">
        <v>20</v>
      </c>
      <c r="D82" s="10">
        <v>756.2</v>
      </c>
    </row>
    <row r="83" spans="1:4" x14ac:dyDescent="0.2">
      <c r="A83" s="9" t="s">
        <v>86</v>
      </c>
      <c r="B83" t="s">
        <v>84</v>
      </c>
      <c r="C83">
        <v>5</v>
      </c>
      <c r="D83" s="10">
        <v>122.59</v>
      </c>
    </row>
    <row r="84" spans="1:4" x14ac:dyDescent="0.2">
      <c r="A84" s="9" t="s">
        <v>87</v>
      </c>
      <c r="B84" t="s">
        <v>84</v>
      </c>
      <c r="C84">
        <v>14</v>
      </c>
      <c r="D84" s="10">
        <v>446.6</v>
      </c>
    </row>
    <row r="85" spans="1:4" x14ac:dyDescent="0.2">
      <c r="A85" s="6"/>
      <c r="B85" s="7"/>
      <c r="C85" s="12">
        <f>SUM(C81:C84)</f>
        <v>83</v>
      </c>
      <c r="D85" s="11">
        <f>SUM(D81:D84)</f>
        <v>2338.71</v>
      </c>
    </row>
    <row r="86" spans="1:4" x14ac:dyDescent="0.2">
      <c r="A86" s="2" t="s">
        <v>88</v>
      </c>
      <c r="B86" s="3" t="s">
        <v>89</v>
      </c>
      <c r="C86" s="3">
        <f>71+124</f>
        <v>195</v>
      </c>
      <c r="D86" s="5">
        <f>1013.9+2342.2</f>
        <v>3356.1</v>
      </c>
    </row>
    <row r="87" spans="1:4" x14ac:dyDescent="0.2">
      <c r="A87" s="9"/>
      <c r="D87" s="10"/>
    </row>
    <row r="88" spans="1:4" x14ac:dyDescent="0.2">
      <c r="A88" s="6"/>
      <c r="B88" s="7"/>
      <c r="C88" s="7"/>
      <c r="D88" s="8"/>
    </row>
  </sheetData>
  <sortState xmlns:xlrd2="http://schemas.microsoft.com/office/spreadsheetml/2017/richdata2" ref="A2:D72">
    <sortCondition ref="B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2026-04-13T12:43:25Z</dcterms:created>
  <dcterms:modified xsi:type="dcterms:W3CDTF">2026-04-13T14:13:36Z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FC3B473C60604B02B4D1915C89C460C5_11</vt:lpwstr>
  </property>
  <property fmtid="{D5CDD505-2E9C-101B-9397-08002B2CF9AE}" pid="3" name="KSOProductBuildVer">
    <vt:lpwstr>1046-12.2.0.23196</vt:lpwstr>
  </property>
</Properties>
</file>